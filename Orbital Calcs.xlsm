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w5177\AnacondaProjects\Orbital Mechanics\"/>
    </mc:Choice>
  </mc:AlternateContent>
  <bookViews>
    <workbookView xWindow="0" yWindow="0" windowWidth="20160" windowHeight="94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3" i="1" l="1"/>
  <c r="B54" i="1" s="1"/>
  <c r="L58" i="1" l="1"/>
  <c r="D60" i="1"/>
  <c r="P60" i="1" s="1"/>
  <c r="H61" i="1"/>
  <c r="N61" i="1" s="1"/>
  <c r="L62" i="1"/>
  <c r="D64" i="1"/>
  <c r="P64" i="1" s="1"/>
  <c r="H65" i="1"/>
  <c r="N65" i="1" s="1"/>
  <c r="B57" i="1"/>
  <c r="B59" i="1"/>
  <c r="F60" i="1"/>
  <c r="J61" i="1"/>
  <c r="B63" i="1"/>
  <c r="F64" i="1"/>
  <c r="J65" i="1"/>
  <c r="M65" i="1" s="1"/>
  <c r="B58" i="1"/>
  <c r="F59" i="1"/>
  <c r="J60" i="1"/>
  <c r="M60" i="1" s="1"/>
  <c r="B62" i="1"/>
  <c r="F63" i="1"/>
  <c r="J64" i="1"/>
  <c r="L57" i="1"/>
  <c r="D61" i="1"/>
  <c r="P61" i="1" s="1"/>
  <c r="L63" i="1"/>
  <c r="F57" i="1"/>
  <c r="J58" i="1"/>
  <c r="M58" i="1" s="1"/>
  <c r="B60" i="1"/>
  <c r="F61" i="1"/>
  <c r="J62" i="1"/>
  <c r="B64" i="1"/>
  <c r="F65" i="1"/>
  <c r="D57" i="1"/>
  <c r="P57" i="1" s="1"/>
  <c r="D59" i="1"/>
  <c r="P59" i="1" s="1"/>
  <c r="H60" i="1"/>
  <c r="N60" i="1" s="1"/>
  <c r="L61" i="1"/>
  <c r="D63" i="1"/>
  <c r="P63" i="1" s="1"/>
  <c r="H64" i="1"/>
  <c r="N64" i="1" s="1"/>
  <c r="L65" i="1"/>
  <c r="D58" i="1"/>
  <c r="P58" i="1" s="1"/>
  <c r="H59" i="1"/>
  <c r="N59" i="1" s="1"/>
  <c r="L60" i="1"/>
  <c r="D62" i="1"/>
  <c r="P62" i="1" s="1"/>
  <c r="H63" i="1"/>
  <c r="L64" i="1"/>
  <c r="J57" i="1"/>
  <c r="F58" i="1"/>
  <c r="J59" i="1"/>
  <c r="M59" i="1" s="1"/>
  <c r="B61" i="1"/>
  <c r="F62" i="1"/>
  <c r="J63" i="1"/>
  <c r="M63" i="1" s="1"/>
  <c r="B65" i="1"/>
  <c r="H57" i="1"/>
  <c r="H58" i="1"/>
  <c r="L59" i="1"/>
  <c r="H62" i="1"/>
  <c r="N62" i="1" s="1"/>
  <c r="D65" i="1"/>
  <c r="P65" i="1" s="1"/>
  <c r="R57" i="1" l="1"/>
  <c r="Q57" i="1"/>
  <c r="Q64" i="1"/>
  <c r="R64" i="1"/>
  <c r="R61" i="1"/>
  <c r="Q61" i="1"/>
  <c r="R63" i="1"/>
  <c r="Q63" i="1"/>
  <c r="U63" i="1" s="1"/>
  <c r="N57" i="1"/>
  <c r="R59" i="1"/>
  <c r="Q59" i="1"/>
  <c r="Q58" i="1"/>
  <c r="U58" i="1" s="1"/>
  <c r="R58" i="1"/>
  <c r="N58" i="1"/>
  <c r="R65" i="1"/>
  <c r="Q65" i="1"/>
  <c r="N63" i="1"/>
  <c r="R60" i="1"/>
  <c r="Q60" i="1"/>
  <c r="U60" i="1" s="1"/>
  <c r="Q62" i="1"/>
  <c r="R62" i="1"/>
  <c r="M64" i="1"/>
  <c r="M57" i="1"/>
  <c r="M62" i="1"/>
  <c r="M61" i="1"/>
  <c r="U64" i="1" l="1"/>
  <c r="U65" i="1"/>
  <c r="U59" i="1"/>
  <c r="V57" i="1"/>
  <c r="U57" i="1"/>
  <c r="U61" i="1"/>
  <c r="U62" i="1"/>
  <c r="V65" i="1"/>
  <c r="T59" i="1"/>
  <c r="T65" i="1"/>
  <c r="W65" i="1" s="1"/>
  <c r="V60" i="1"/>
  <c r="V58" i="1"/>
  <c r="V59" i="1"/>
  <c r="T60" i="1"/>
  <c r="T58" i="1"/>
  <c r="V61" i="1"/>
  <c r="T61" i="1"/>
  <c r="W61" i="1" s="1"/>
  <c r="V64" i="1"/>
  <c r="T64" i="1"/>
  <c r="W64" i="1" s="1"/>
  <c r="T63" i="1"/>
  <c r="W63" i="1" s="1"/>
  <c r="V63" i="1"/>
  <c r="T57" i="1"/>
  <c r="T62" i="1"/>
  <c r="W62" i="1" s="1"/>
  <c r="V62" i="1"/>
  <c r="Y60" i="1" l="1"/>
  <c r="W57" i="1"/>
  <c r="W60" i="1"/>
  <c r="W59" i="1"/>
  <c r="W58" i="1"/>
  <c r="Y58" i="1"/>
  <c r="X63" i="1"/>
  <c r="Y65" i="1"/>
  <c r="Y59" i="1"/>
  <c r="X65" i="1"/>
  <c r="X64" i="1"/>
  <c r="X58" i="1"/>
  <c r="X60" i="1"/>
  <c r="X59" i="1"/>
  <c r="Y63" i="1"/>
  <c r="X62" i="1"/>
  <c r="Y62" i="1"/>
  <c r="X61" i="1"/>
  <c r="Y61" i="1"/>
  <c r="Y57" i="1"/>
  <c r="X57" i="1"/>
  <c r="Y64" i="1"/>
</calcChain>
</file>

<file path=xl/sharedStrings.xml><?xml version="1.0" encoding="utf-8"?>
<sst xmlns="http://schemas.openxmlformats.org/spreadsheetml/2006/main" count="119" uniqueCount="99">
  <si>
    <t>a</t>
  </si>
  <si>
    <t>e</t>
  </si>
  <si>
    <t>eccentricity</t>
  </si>
  <si>
    <t>I</t>
  </si>
  <si>
    <t>inclination (deg)</t>
  </si>
  <si>
    <t>L</t>
  </si>
  <si>
    <t>mean longitude (deg)</t>
  </si>
  <si>
    <t>longitude of perihelion (deg)</t>
  </si>
  <si>
    <t>longitude of the ascending node (deg)</t>
  </si>
  <si>
    <t>Omega</t>
  </si>
  <si>
    <t>Compute the value of each of that planet's six elements: a = a_0 + a_dot*T, etc, where T, the number of centuries past J2000.0, is T = (T_eph-2451545.0)/36525</t>
  </si>
  <si>
    <t>omega = omega_bar - Omega</t>
  </si>
  <si>
    <t>M = L - omega_bar + b*T^2 + c*cos(f*T) + s*sin(f*T)</t>
  </si>
  <si>
    <t>omega_bar</t>
  </si>
  <si>
    <t>where the last three terms must be added to M for Jupiter through Pluto when using the formulae for 3000 BC to 3000 AD</t>
  </si>
  <si>
    <r>
      <t xml:space="preserve">Modulus the mean anomaly so that -180 </t>
    </r>
    <r>
      <rPr>
        <sz val="11"/>
        <color theme="1"/>
        <rFont val="Calibri"/>
        <family val="2"/>
      </rPr>
      <t>≤ M ≤ + 180 and then obtain the eccentric anomaly, E, from the solution of Kepler's equation (see below):</t>
    </r>
  </si>
  <si>
    <t>where e_star = 180/(pi*e)</t>
  </si>
  <si>
    <t>M = E - e_star*sinE</t>
  </si>
  <si>
    <t>x' = a*(cosE - e)</t>
  </si>
  <si>
    <t>y' = a*sqrt(1 - e^2)*sinE</t>
  </si>
  <si>
    <t>z' = 0</t>
  </si>
  <si>
    <r>
      <t xml:space="preserve">r_ecl = </t>
    </r>
    <r>
      <rPr>
        <i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r' == </t>
    </r>
    <r>
      <rPr>
        <i/>
        <sz val="11"/>
        <color theme="1"/>
        <rFont val="Calibri"/>
        <family val="2"/>
        <scheme val="minor"/>
      </rPr>
      <t>R_z(-Omega)R_x(-I)R_z(-omega)</t>
    </r>
    <r>
      <rPr>
        <sz val="11"/>
        <color theme="1"/>
        <rFont val="Calibri"/>
        <family val="2"/>
        <scheme val="minor"/>
      </rPr>
      <t>r'</t>
    </r>
  </si>
  <si>
    <t>so that</t>
  </si>
  <si>
    <t>x_ecl = [cos(omega)*cos(Omega) - sin(omega)*sin(Omega)*cos(I)] x' + [-sin(omega)*cos(Omega) - cos(omega)*sin(Omega)*cos(I)] y'</t>
  </si>
  <si>
    <t>Compute the argument of perihelion, omega, and the mean anomaly, M:</t>
  </si>
  <si>
    <t>Compute the planet's heliocentric coordinates in its orbital plane, r', with the x'-axis aligned from the focus to the perihelion:</t>
  </si>
  <si>
    <t>Compute the coordinates, r_ecl, in the J2000 ecliptic plane, with the x-axis aligned toward the equinox:</t>
  </si>
  <si>
    <t>y_ecl = [cos(omega)*sin(Omega) - sin(omega)*cos(Omega)*cos(I)] x' + [-sin(omega)*sin(Omega) + cos(omega)*cos(Omega)*cos(I)] y'</t>
  </si>
  <si>
    <t>If desired, obtain the equatorial coordinates in the "ICRF", or "J2000 frame", r_eq:</t>
  </si>
  <si>
    <t>x_eq = x_ecl</t>
  </si>
  <si>
    <t>y_eq = +cos(epsilon)*y_ecl - sin(epsilon)*z_ecl</t>
  </si>
  <si>
    <t>z_eq = +sin(epsilon)*y_ecl - cos(epsilon)*z_ecl</t>
  </si>
  <si>
    <t>where the obliquity at J2000 is epsilon = 23.43928 deg</t>
  </si>
  <si>
    <t>Given the mean anomaly, M, and the eccentricity, e_star, both in deg, start with</t>
  </si>
  <si>
    <t>E_0 = M + e_star*sinM</t>
  </si>
  <si>
    <t>Solution of Kepler's Equation, M = E - e_star*sinE</t>
  </si>
  <si>
    <r>
      <t xml:space="preserve">and iterate the following three equations, with n = 0,1,2,… until |Delta_E| </t>
    </r>
    <r>
      <rPr>
        <sz val="11"/>
        <color theme="1"/>
        <rFont val="Calibri"/>
        <family val="2"/>
      </rPr>
      <t>≤ tol (noting that e_star is in deg; e is in radians):</t>
    </r>
  </si>
  <si>
    <t>Delta_M = M - (E_n - e_star*sinE_n</t>
  </si>
  <si>
    <t>Delta_E = Delta_M / (1 - e*cosE_n)</t>
  </si>
  <si>
    <t>E_n+1 = E_n + Delta_E</t>
  </si>
  <si>
    <t>For the approximate formulae in this present context, tol = 10^-6 deg is sufficient</t>
  </si>
  <si>
    <t>Keplerian elements and their rates, with respect to the mean ecliptic and equinox of J2000, valid for the time-interval 1800 AD - 2050 AD</t>
  </si>
  <si>
    <t>Mercury</t>
  </si>
  <si>
    <t>Venus</t>
  </si>
  <si>
    <t>EM Bary</t>
  </si>
  <si>
    <t>Mars</t>
  </si>
  <si>
    <t>Jupiter</t>
  </si>
  <si>
    <t>Saturn</t>
  </si>
  <si>
    <t>Uranus</t>
  </si>
  <si>
    <t>Neptune</t>
  </si>
  <si>
    <t>Pluto</t>
  </si>
  <si>
    <t>e (unitless)</t>
  </si>
  <si>
    <t>e_dot (1/cty)</t>
  </si>
  <si>
    <t>I (deg)</t>
  </si>
  <si>
    <t>I_dot (deg/cty)</t>
  </si>
  <si>
    <t>L (deg)</t>
  </si>
  <si>
    <t>L_dot (deg/cty)</t>
  </si>
  <si>
    <t>omega_bar (deg)</t>
  </si>
  <si>
    <t>omega_bar_dot (deg/cty)</t>
  </si>
  <si>
    <t>Omega (deg)</t>
  </si>
  <si>
    <t>Omega_dot (deg/cty)</t>
  </si>
  <si>
    <t>Date</t>
  </si>
  <si>
    <t>6/26/2018</t>
  </si>
  <si>
    <t>1/1/2000</t>
  </si>
  <si>
    <t>T_2000 epoch</t>
  </si>
  <si>
    <t>correction</t>
  </si>
  <si>
    <t>T_eph</t>
  </si>
  <si>
    <t>T</t>
  </si>
  <si>
    <t>x'</t>
  </si>
  <si>
    <t>y'</t>
  </si>
  <si>
    <t>z'</t>
  </si>
  <si>
    <t>x_ecl</t>
  </si>
  <si>
    <t>y_ecl</t>
  </si>
  <si>
    <t>z_ecl</t>
  </si>
  <si>
    <t>z_ecl = [sin(omega)*sin(I)] x' + [cos(omega)*sin(I)] y'</t>
  </si>
  <si>
    <t>x_eq</t>
  </si>
  <si>
    <t>y_eq</t>
  </si>
  <si>
    <t>z_eq</t>
  </si>
  <si>
    <t>epsilon</t>
  </si>
  <si>
    <t>semi-major axis (au)</t>
  </si>
  <si>
    <t>m/au</t>
  </si>
  <si>
    <t>a (au)</t>
  </si>
  <si>
    <t>a_dot (au/cty)</t>
  </si>
  <si>
    <t>eccentricity (unitless)</t>
  </si>
  <si>
    <t>argument of perihelion (deg)</t>
  </si>
  <si>
    <t>omega</t>
  </si>
  <si>
    <t>mean anomaly (deg)</t>
  </si>
  <si>
    <t>eccentric anomaly (deg)</t>
  </si>
  <si>
    <t>true anomaly (deg)</t>
  </si>
  <si>
    <t>theta</t>
  </si>
  <si>
    <t>data structure:</t>
  </si>
  <si>
    <t>Ephemerides = {'6/26/2018':
                                 {'Mercury':
                                     {'a': 0.38709934, 'e': 0.20563945, 'I': 7.00387981, 'L': 27877.58328973, 'omega_bar': 77.48745540, 'Omega': 48.30760061, 'omega': 29.17985478}
                                 }
                             }</t>
  </si>
  <si>
    <t>json?</t>
  </si>
  <si>
    <t>dictionary?</t>
  </si>
  <si>
    <t>E</t>
  </si>
  <si>
    <t>r' coords (au)</t>
  </si>
  <si>
    <t>r_ecl coords (au)</t>
  </si>
  <si>
    <t>ICRF or J2000 frame, r_eq (au)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</si>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</sst>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14" fontId="0" fillId="0" borderId="0" xfId="0" quotePrefix="1" applyNumberFormat="1"/>
    <xf numFmtId="0" fontId="0" fillId="0" borderId="0" xfId="0" quotePrefix="1"/>
    <xf numFmtId="0" fontId="0" fillId="0" borderId="0" xfId="0" applyFont="1"/>
    <xf numFmtId="14" fontId="0" fillId="0" borderId="0" xfId="0" quotePrefix="1" applyNumberFormat="1" applyFont="1"/>
    <xf numFmtId="0" fontId="1" fillId="0" borderId="0" xfId="0" quotePrefix="1" applyFont="1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quotePrefix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Sheet1!$Q$57:$Q$60</c:f>
              <c:numCache>
                <c:formatCode>General</c:formatCode>
                <c:ptCount val="4"/>
                <c:pt idx="0">
                  <c:v>-9.2246958825075054E-2</c:v>
                </c:pt>
                <c:pt idx="1">
                  <c:v>0.290326342281998</c:v>
                </c:pt>
                <c:pt idx="2">
                  <c:v>-1.0043173610482716</c:v>
                </c:pt>
                <c:pt idx="3">
                  <c:v>0.8943094573923499</c:v>
                </c:pt>
              </c:numCache>
            </c:numRef>
          </c:xVal>
          <c:yVal>
            <c:numRef>
              <c:f>Sheet1!$R$57:$R$60</c:f>
              <c:numCache>
                <c:formatCode>General</c:formatCode>
                <c:ptCount val="4"/>
                <c:pt idx="0">
                  <c:v>0.37862404176970849</c:v>
                </c:pt>
                <c:pt idx="1">
                  <c:v>0.6603325650913805</c:v>
                </c:pt>
                <c:pt idx="2">
                  <c:v>0.15690329497451119</c:v>
                </c:pt>
                <c:pt idx="3">
                  <c:v>-1.1118476452892878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B1-4CF8-B94E-D28BA2CFC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477760"/>
        <c:axId val="711478416"/>
      </c:scatterChart>
      <c:valAx>
        <c:axId val="711477760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478416"/>
        <c:crosses val="autoZero"/>
        <c:crossBetween val="midCat"/>
      </c:valAx>
      <c:valAx>
        <c:axId val="711478416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477760"/>
        <c:crosses val="autoZero"/>
        <c:crossBetween val="midCat"/>
        <c:majorUnit val="2"/>
        <c:min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1409700</xdr:colOff>
          <xdr:row>51</xdr:row>
          <xdr:rowOff>175260</xdr:rowOff>
        </xdr:from>
        <xdr:to>
          <xdr:col>14</xdr:col>
          <xdr:colOff>845820</xdr:colOff>
          <xdr:row>53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Iterate E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434340</xdr:colOff>
      <xdr:row>37</xdr:row>
      <xdr:rowOff>53340</xdr:rowOff>
    </xdr:from>
    <xdr:to>
      <xdr:col>23</xdr:col>
      <xdr:colOff>403860</xdr:colOff>
      <xdr:row>52</xdr:row>
      <xdr:rowOff>53340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75"/>
  <sheetViews>
    <sheetView tabSelected="1" topLeftCell="A46" workbookViewId="0">
      <selection activeCell="J4" sqref="J4"/>
    </sheetView>
  </sheetViews>
  <sheetFormatPr defaultRowHeight="14.4" x14ac:dyDescent="0.3"/>
  <cols>
    <col min="1" max="1" width="10.21875" customWidth="1"/>
    <col min="2" max="2" width="11.5546875" bestFit="1" customWidth="1"/>
    <col min="3" max="3" width="13.109375" bestFit="1" customWidth="1"/>
    <col min="4" max="4" width="10.5546875" bestFit="1" customWidth="1"/>
    <col min="5" max="5" width="11.21875" bestFit="1" customWidth="1"/>
    <col min="6" max="6" width="11.5546875" bestFit="1" customWidth="1"/>
    <col min="7" max="7" width="13.109375" bestFit="1" customWidth="1"/>
    <col min="8" max="8" width="14.6640625" bestFit="1" customWidth="1"/>
    <col min="9" max="9" width="15.6640625" bestFit="1" customWidth="1"/>
    <col min="10" max="10" width="14.77734375" bestFit="1" customWidth="1"/>
    <col min="11" max="11" width="22" bestFit="1" customWidth="1"/>
    <col min="12" max="12" width="18.44140625" customWidth="1"/>
    <col min="13" max="13" width="15.77734375" customWidth="1"/>
    <col min="14" max="14" width="22.44140625" bestFit="1" customWidth="1"/>
    <col min="15" max="15" width="13.33203125" bestFit="1" customWidth="1"/>
    <col min="16" max="16" width="13.33203125" customWidth="1"/>
    <col min="17" max="17" width="12.6640625" bestFit="1" customWidth="1"/>
    <col min="20" max="21" width="12.21875" bestFit="1" customWidth="1"/>
    <col min="22" max="22" width="11.5546875" bestFit="1" customWidth="1"/>
    <col min="23" max="23" width="22.21875" bestFit="1" customWidth="1"/>
    <col min="24" max="24" width="12.33203125" customWidth="1"/>
    <col min="25" max="25" width="13" customWidth="1"/>
  </cols>
  <sheetData>
    <row r="1" spans="1:12" x14ac:dyDescent="0.3">
      <c r="A1" t="s">
        <v>0</v>
      </c>
      <c r="B1" t="s">
        <v>79</v>
      </c>
      <c r="G1">
        <v>149597870700</v>
      </c>
      <c r="H1" t="s">
        <v>80</v>
      </c>
    </row>
    <row r="2" spans="1:12" x14ac:dyDescent="0.3">
      <c r="A2" t="s">
        <v>1</v>
      </c>
      <c r="B2" t="s">
        <v>2</v>
      </c>
    </row>
    <row r="3" spans="1:12" x14ac:dyDescent="0.3">
      <c r="A3" t="s">
        <v>3</v>
      </c>
      <c r="B3" t="s">
        <v>4</v>
      </c>
    </row>
    <row r="4" spans="1:12" x14ac:dyDescent="0.3">
      <c r="A4" t="s">
        <v>5</v>
      </c>
      <c r="B4" t="s">
        <v>6</v>
      </c>
    </row>
    <row r="5" spans="1:12" x14ac:dyDescent="0.3">
      <c r="A5" t="s">
        <v>13</v>
      </c>
      <c r="B5" t="s">
        <v>7</v>
      </c>
      <c r="K5" s="2"/>
      <c r="L5" s="2"/>
    </row>
    <row r="6" spans="1:12" x14ac:dyDescent="0.3">
      <c r="A6" t="s">
        <v>9</v>
      </c>
      <c r="B6" t="s">
        <v>8</v>
      </c>
    </row>
    <row r="8" spans="1:12" x14ac:dyDescent="0.3">
      <c r="A8" t="s">
        <v>10</v>
      </c>
    </row>
    <row r="9" spans="1:12" x14ac:dyDescent="0.3">
      <c r="A9" t="s">
        <v>24</v>
      </c>
    </row>
    <row r="10" spans="1:12" x14ac:dyDescent="0.3">
      <c r="B10" t="s">
        <v>11</v>
      </c>
    </row>
    <row r="11" spans="1:12" x14ac:dyDescent="0.3">
      <c r="B11" t="s">
        <v>12</v>
      </c>
    </row>
    <row r="12" spans="1:12" x14ac:dyDescent="0.3">
      <c r="A12" t="s">
        <v>14</v>
      </c>
    </row>
    <row r="13" spans="1:12" x14ac:dyDescent="0.3">
      <c r="A13" t="s">
        <v>15</v>
      </c>
    </row>
    <row r="14" spans="1:12" x14ac:dyDescent="0.3">
      <c r="B14" t="s">
        <v>17</v>
      </c>
    </row>
    <row r="15" spans="1:12" x14ac:dyDescent="0.3">
      <c r="A15" t="s">
        <v>16</v>
      </c>
    </row>
    <row r="16" spans="1:12" x14ac:dyDescent="0.3">
      <c r="A16" t="s">
        <v>25</v>
      </c>
    </row>
    <row r="17" spans="1:2" x14ac:dyDescent="0.3">
      <c r="B17" t="s">
        <v>18</v>
      </c>
    </row>
    <row r="18" spans="1:2" x14ac:dyDescent="0.3">
      <c r="B18" t="s">
        <v>19</v>
      </c>
    </row>
    <row r="19" spans="1:2" x14ac:dyDescent="0.3">
      <c r="B19" t="s">
        <v>20</v>
      </c>
    </row>
    <row r="20" spans="1:2" x14ac:dyDescent="0.3">
      <c r="A20" t="s">
        <v>26</v>
      </c>
    </row>
    <row r="21" spans="1:2" x14ac:dyDescent="0.3">
      <c r="B21" t="s">
        <v>21</v>
      </c>
    </row>
    <row r="22" spans="1:2" x14ac:dyDescent="0.3">
      <c r="A22" t="s">
        <v>22</v>
      </c>
    </row>
    <row r="23" spans="1:2" x14ac:dyDescent="0.3">
      <c r="B23" t="s">
        <v>23</v>
      </c>
    </row>
    <row r="24" spans="1:2" x14ac:dyDescent="0.3">
      <c r="B24" t="s">
        <v>27</v>
      </c>
    </row>
    <row r="25" spans="1:2" x14ac:dyDescent="0.3">
      <c r="B25" t="s">
        <v>74</v>
      </c>
    </row>
    <row r="26" spans="1:2" x14ac:dyDescent="0.3">
      <c r="A26" t="s">
        <v>28</v>
      </c>
    </row>
    <row r="27" spans="1:2" x14ac:dyDescent="0.3">
      <c r="B27" t="s">
        <v>29</v>
      </c>
    </row>
    <row r="28" spans="1:2" x14ac:dyDescent="0.3">
      <c r="B28" t="s">
        <v>30</v>
      </c>
    </row>
    <row r="29" spans="1:2" x14ac:dyDescent="0.3">
      <c r="B29" t="s">
        <v>31</v>
      </c>
    </row>
    <row r="30" spans="1:2" x14ac:dyDescent="0.3">
      <c r="A30" t="s">
        <v>32</v>
      </c>
    </row>
    <row r="32" spans="1:2" x14ac:dyDescent="0.3">
      <c r="A32" t="s">
        <v>35</v>
      </c>
    </row>
    <row r="33" spans="1:14" x14ac:dyDescent="0.3">
      <c r="A33" t="s">
        <v>33</v>
      </c>
    </row>
    <row r="34" spans="1:14" x14ac:dyDescent="0.3">
      <c r="B34" t="s">
        <v>34</v>
      </c>
    </row>
    <row r="35" spans="1:14" x14ac:dyDescent="0.3">
      <c r="A35" t="s">
        <v>36</v>
      </c>
    </row>
    <row r="36" spans="1:14" x14ac:dyDescent="0.3">
      <c r="B36" t="s">
        <v>37</v>
      </c>
    </row>
    <row r="37" spans="1:14" x14ac:dyDescent="0.3">
      <c r="B37" t="s">
        <v>38</v>
      </c>
    </row>
    <row r="38" spans="1:14" x14ac:dyDescent="0.3">
      <c r="B38" t="s">
        <v>39</v>
      </c>
    </row>
    <row r="39" spans="1:14" x14ac:dyDescent="0.3">
      <c r="A39" t="s">
        <v>40</v>
      </c>
    </row>
    <row r="40" spans="1:14" x14ac:dyDescent="0.3">
      <c r="A40" t="s">
        <v>41</v>
      </c>
    </row>
    <row r="41" spans="1:14" x14ac:dyDescent="0.3">
      <c r="B41" t="s">
        <v>81</v>
      </c>
      <c r="C41" t="s">
        <v>82</v>
      </c>
      <c r="D41" t="s">
        <v>51</v>
      </c>
      <c r="E41" t="s">
        <v>52</v>
      </c>
      <c r="F41" t="s">
        <v>53</v>
      </c>
      <c r="G41" t="s">
        <v>54</v>
      </c>
      <c r="H41" t="s">
        <v>55</v>
      </c>
      <c r="I41" t="s">
        <v>56</v>
      </c>
      <c r="J41" t="s">
        <v>57</v>
      </c>
      <c r="K41" t="s">
        <v>58</v>
      </c>
      <c r="L41" t="s">
        <v>59</v>
      </c>
      <c r="M41" t="s">
        <v>60</v>
      </c>
      <c r="N41" s="4"/>
    </row>
    <row r="42" spans="1:14" x14ac:dyDescent="0.3">
      <c r="A42" t="s">
        <v>42</v>
      </c>
      <c r="B42" s="1">
        <v>0.38709927</v>
      </c>
      <c r="C42" s="1">
        <v>3.7E-7</v>
      </c>
      <c r="D42" s="1">
        <v>0.20563592999999999</v>
      </c>
      <c r="E42" s="1">
        <v>1.906E-5</v>
      </c>
      <c r="F42" s="1">
        <v>7.0049790200000004</v>
      </c>
      <c r="G42" s="1">
        <v>-5.9474899999999997E-3</v>
      </c>
      <c r="H42" s="1">
        <v>252.25032350000001</v>
      </c>
      <c r="I42" s="1">
        <v>149472.67411175001</v>
      </c>
      <c r="J42" s="1">
        <v>77.457796279999997</v>
      </c>
      <c r="K42" s="1">
        <v>0.16047689000000001</v>
      </c>
      <c r="L42" s="1">
        <v>48.330765929999998</v>
      </c>
      <c r="M42" s="1">
        <v>-0.12534081</v>
      </c>
      <c r="N42" s="5"/>
    </row>
    <row r="43" spans="1:14" x14ac:dyDescent="0.3">
      <c r="A43" t="s">
        <v>43</v>
      </c>
      <c r="B43" s="1">
        <v>0.72333566000000005</v>
      </c>
      <c r="C43" s="1">
        <v>3.8999999999999999E-6</v>
      </c>
      <c r="D43" s="1">
        <v>6.77672E-3</v>
      </c>
      <c r="E43" s="1">
        <v>-4.1069999999999998E-5</v>
      </c>
      <c r="F43" s="1">
        <v>3.3946760500000002</v>
      </c>
      <c r="G43" s="1">
        <v>-7.8890000000000004E-4</v>
      </c>
      <c r="H43" s="1">
        <v>181.97909949999999</v>
      </c>
      <c r="I43" s="1">
        <v>58517.81538729</v>
      </c>
      <c r="J43" s="1">
        <v>131.60246717999999</v>
      </c>
      <c r="K43" s="1">
        <v>2.6832900000000001E-3</v>
      </c>
      <c r="L43" s="1">
        <v>76.679842550000004</v>
      </c>
      <c r="M43" s="1">
        <v>-0.27769418000000001</v>
      </c>
      <c r="N43" s="5"/>
    </row>
    <row r="44" spans="1:14" x14ac:dyDescent="0.3">
      <c r="A44" t="s">
        <v>44</v>
      </c>
      <c r="B44" s="1">
        <v>1.0000026099999999</v>
      </c>
      <c r="C44" s="1">
        <v>5.6200000000000004E-6</v>
      </c>
      <c r="D44" s="1">
        <v>1.6711230000000001E-2</v>
      </c>
      <c r="E44" s="1">
        <v>-4.392E-5</v>
      </c>
      <c r="F44" s="1">
        <v>-1.5310000000000001E-5</v>
      </c>
      <c r="G44" s="1">
        <v>-1.294668E-2</v>
      </c>
      <c r="H44" s="1">
        <v>100.46457166</v>
      </c>
      <c r="I44" s="1">
        <v>35999.372449809998</v>
      </c>
      <c r="J44" s="1">
        <v>102.93768193</v>
      </c>
      <c r="K44" s="1">
        <v>0.32327363999999997</v>
      </c>
      <c r="L44" s="1">
        <v>0</v>
      </c>
      <c r="M44" s="1">
        <v>0</v>
      </c>
      <c r="N44" s="5"/>
    </row>
    <row r="45" spans="1:14" x14ac:dyDescent="0.3">
      <c r="A45" t="s">
        <v>45</v>
      </c>
      <c r="B45" s="1">
        <v>1.5237103400000001</v>
      </c>
      <c r="C45" s="1">
        <v>1.8470000000000001E-5</v>
      </c>
      <c r="D45" s="1">
        <v>9.3394099999999994E-2</v>
      </c>
      <c r="E45" s="1">
        <v>7.8819999999999994E-5</v>
      </c>
      <c r="F45" s="1">
        <v>1.8496914200000001</v>
      </c>
      <c r="G45" s="1">
        <v>-8.1313099999999992E-3</v>
      </c>
      <c r="H45" s="1">
        <v>-4.5534320499999996</v>
      </c>
      <c r="I45" s="1">
        <v>19140.302684990002</v>
      </c>
      <c r="J45" s="1">
        <v>-23.94362959</v>
      </c>
      <c r="K45" s="1">
        <v>0.44441088000000001</v>
      </c>
      <c r="L45" s="1">
        <v>49.559538910000001</v>
      </c>
      <c r="M45" s="1">
        <v>-0.29257343000000002</v>
      </c>
      <c r="N45" s="5"/>
    </row>
    <row r="46" spans="1:14" x14ac:dyDescent="0.3">
      <c r="A46" t="s">
        <v>46</v>
      </c>
      <c r="B46" s="1">
        <v>5.2028869999999996</v>
      </c>
      <c r="C46" s="1">
        <v>-1.1607000000000001E-4</v>
      </c>
      <c r="D46" s="1">
        <v>4.8386239999999997E-2</v>
      </c>
      <c r="E46" s="1">
        <v>-1.3253000000000001E-4</v>
      </c>
      <c r="F46" s="1">
        <v>1.3043969500000001</v>
      </c>
      <c r="G46" s="1">
        <v>-1.8371399999999999E-3</v>
      </c>
      <c r="H46" s="1">
        <v>34.396440509999998</v>
      </c>
      <c r="I46" s="1">
        <v>3034.7461277500001</v>
      </c>
      <c r="J46" s="1">
        <v>14.728479829999999</v>
      </c>
      <c r="K46" s="1">
        <v>0.21252668</v>
      </c>
      <c r="L46" s="1">
        <v>100.47390909000001</v>
      </c>
      <c r="M46" s="1">
        <v>0.20469106000000001</v>
      </c>
      <c r="N46" s="5"/>
    </row>
    <row r="47" spans="1:14" x14ac:dyDescent="0.3">
      <c r="A47" t="s">
        <v>47</v>
      </c>
      <c r="B47" s="1">
        <v>9.5366759400000003</v>
      </c>
      <c r="C47" s="1">
        <v>-1.2505999999999999E-3</v>
      </c>
      <c r="D47" s="1">
        <v>5.386179E-2</v>
      </c>
      <c r="E47" s="1">
        <v>-5.0991000000000003E-4</v>
      </c>
      <c r="F47" s="1">
        <v>2.4859918699999999</v>
      </c>
      <c r="G47" s="1">
        <v>1.9360899999999999E-3</v>
      </c>
      <c r="H47" s="1">
        <v>49.95424423</v>
      </c>
      <c r="I47" s="1">
        <v>1222.4936220100001</v>
      </c>
      <c r="J47" s="1">
        <v>92.598878310000003</v>
      </c>
      <c r="K47" s="1">
        <v>-0.41897215999999998</v>
      </c>
      <c r="L47" s="1">
        <v>113.66242448</v>
      </c>
      <c r="M47" s="1">
        <v>-0.28867794000000002</v>
      </c>
      <c r="N47" s="5"/>
    </row>
    <row r="48" spans="1:14" x14ac:dyDescent="0.3">
      <c r="A48" t="s">
        <v>48</v>
      </c>
      <c r="B48" s="1">
        <v>19.189164640000001</v>
      </c>
      <c r="C48" s="1">
        <v>-1.9617599999999999E-3</v>
      </c>
      <c r="D48" s="1">
        <v>4.7257439999999998E-2</v>
      </c>
      <c r="E48" s="1">
        <v>-4.3970000000000001E-5</v>
      </c>
      <c r="F48" s="1">
        <v>0.77263782999999997</v>
      </c>
      <c r="G48" s="1">
        <v>-2.42939E-3</v>
      </c>
      <c r="H48" s="1">
        <v>313.23810451000003</v>
      </c>
      <c r="I48" s="1">
        <v>428.48202785000001</v>
      </c>
      <c r="J48" s="1">
        <v>170.9542763</v>
      </c>
      <c r="K48" s="1">
        <v>0.40805280999999999</v>
      </c>
      <c r="L48" s="1">
        <v>74.016925029999996</v>
      </c>
      <c r="M48" s="1">
        <v>4.2405890000000002E-2</v>
      </c>
      <c r="N48" s="5"/>
    </row>
    <row r="49" spans="1:25" x14ac:dyDescent="0.3">
      <c r="A49" t="s">
        <v>49</v>
      </c>
      <c r="B49" s="1">
        <v>30.069922760000001</v>
      </c>
      <c r="C49" s="1">
        <v>2.6290999999999999E-4</v>
      </c>
      <c r="D49" s="1">
        <v>8.5904799999999993E-3</v>
      </c>
      <c r="E49" s="1">
        <v>5.1050000000000001E-5</v>
      </c>
      <c r="F49" s="1">
        <v>1.7700434700000001</v>
      </c>
      <c r="G49" s="1">
        <v>3.5372000000000002E-4</v>
      </c>
      <c r="H49" s="1">
        <v>-55.120029690000003</v>
      </c>
      <c r="I49" s="1">
        <v>218.45945325</v>
      </c>
      <c r="J49" s="1">
        <v>44.964762270000001</v>
      </c>
      <c r="K49" s="1">
        <v>-0.32241463999999997</v>
      </c>
      <c r="L49" s="1">
        <v>131.78422574000001</v>
      </c>
      <c r="M49" s="1">
        <v>-5.0866399999999999E-3</v>
      </c>
      <c r="N49" s="5"/>
    </row>
    <row r="50" spans="1:25" x14ac:dyDescent="0.3">
      <c r="A50" t="s">
        <v>50</v>
      </c>
      <c r="B50" s="1">
        <v>39.482116750000003</v>
      </c>
      <c r="C50" s="1">
        <v>-3.1596E-4</v>
      </c>
      <c r="D50" s="1">
        <v>0.2488273</v>
      </c>
      <c r="E50" s="1">
        <v>5.1700000000000003E-5</v>
      </c>
      <c r="F50" s="1">
        <v>17.14001206</v>
      </c>
      <c r="G50" s="1">
        <v>4.8180000000000003E-5</v>
      </c>
      <c r="H50" s="1">
        <v>238.92903833</v>
      </c>
      <c r="I50" s="1">
        <v>145.20780515000001</v>
      </c>
      <c r="J50" s="1">
        <v>224.06891629</v>
      </c>
      <c r="K50" s="1">
        <v>-4.0629419999999999E-2</v>
      </c>
      <c r="L50" s="1">
        <v>110.30393684000001</v>
      </c>
      <c r="M50" s="1">
        <v>-1.1834819999999999E-2</v>
      </c>
      <c r="N50" s="5"/>
    </row>
    <row r="52" spans="1:25" x14ac:dyDescent="0.3">
      <c r="A52" t="s">
        <v>61</v>
      </c>
      <c r="B52" s="6" t="s">
        <v>62</v>
      </c>
      <c r="C52" t="s">
        <v>64</v>
      </c>
    </row>
    <row r="53" spans="1:25" x14ac:dyDescent="0.3">
      <c r="A53" t="s">
        <v>66</v>
      </c>
      <c r="B53">
        <f>DATEVALUE($B$52)+$D$54-0.5</f>
        <v>2458295.5</v>
      </c>
      <c r="C53" s="3" t="s">
        <v>63</v>
      </c>
      <c r="D53">
        <v>2451545</v>
      </c>
      <c r="L53" s="8"/>
      <c r="M53" s="1"/>
    </row>
    <row r="54" spans="1:25" x14ac:dyDescent="0.3">
      <c r="A54" t="s">
        <v>67</v>
      </c>
      <c r="B54">
        <f>($B$53-$D$53)/36525</f>
        <v>0.18481861738535249</v>
      </c>
      <c r="C54" t="s">
        <v>65</v>
      </c>
      <c r="D54">
        <v>2415019</v>
      </c>
      <c r="M54" s="1"/>
      <c r="N54" s="1"/>
    </row>
    <row r="55" spans="1:25" s="7" customFormat="1" ht="28.2" customHeight="1" x14ac:dyDescent="0.3">
      <c r="B55" s="7" t="s">
        <v>79</v>
      </c>
      <c r="D55" s="7" t="s">
        <v>83</v>
      </c>
      <c r="F55" s="7" t="s">
        <v>4</v>
      </c>
      <c r="H55" s="7" t="s">
        <v>6</v>
      </c>
      <c r="J55" s="7" t="s">
        <v>7</v>
      </c>
      <c r="L55" s="7" t="s">
        <v>8</v>
      </c>
      <c r="M55" s="7" t="s">
        <v>84</v>
      </c>
      <c r="N55" s="7" t="s">
        <v>86</v>
      </c>
      <c r="O55" s="7" t="s">
        <v>87</v>
      </c>
      <c r="P55" s="7" t="s">
        <v>88</v>
      </c>
      <c r="Q55" s="7" t="s">
        <v>95</v>
      </c>
      <c r="T55" s="7" t="s">
        <v>96</v>
      </c>
      <c r="W55" s="7" t="s">
        <v>97</v>
      </c>
      <c r="X55" s="7" t="s">
        <v>78</v>
      </c>
      <c r="Y55" s="7">
        <v>23.43928</v>
      </c>
    </row>
    <row r="56" spans="1:25" x14ac:dyDescent="0.3">
      <c r="B56" t="s">
        <v>0</v>
      </c>
      <c r="D56" t="s">
        <v>1</v>
      </c>
      <c r="F56" t="s">
        <v>3</v>
      </c>
      <c r="H56" t="s">
        <v>5</v>
      </c>
      <c r="J56" t="s">
        <v>13</v>
      </c>
      <c r="L56" t="s">
        <v>9</v>
      </c>
      <c r="M56" t="s">
        <v>85</v>
      </c>
      <c r="N56" t="s">
        <v>98</v>
      </c>
      <c r="O56" t="s">
        <v>94</v>
      </c>
      <c r="P56" t="s">
        <v>89</v>
      </c>
      <c r="Q56" t="s">
        <v>68</v>
      </c>
      <c r="R56" t="s">
        <v>69</v>
      </c>
      <c r="S56" t="s">
        <v>70</v>
      </c>
      <c r="T56" t="s">
        <v>71</v>
      </c>
      <c r="U56" t="s">
        <v>72</v>
      </c>
      <c r="V56" t="s">
        <v>73</v>
      </c>
      <c r="W56" t="s">
        <v>75</v>
      </c>
      <c r="X56" t="s">
        <v>76</v>
      </c>
      <c r="Y56" t="s">
        <v>77</v>
      </c>
    </row>
    <row r="57" spans="1:25" x14ac:dyDescent="0.3">
      <c r="A57" t="s">
        <v>42</v>
      </c>
      <c r="B57" s="1">
        <f t="shared" ref="B57:B65" si="0">B42+C42*$B$54</f>
        <v>0.3870993383828884</v>
      </c>
      <c r="C57" s="1"/>
      <c r="D57" s="1">
        <f t="shared" ref="D57:D65" si="1">D42+E42*$B$54</f>
        <v>0.20563945264284736</v>
      </c>
      <c r="E57" s="1"/>
      <c r="F57" s="1">
        <f t="shared" ref="F57:F65" si="2">F42+G42*$B$54</f>
        <v>7.0038798131212872</v>
      </c>
      <c r="G57" s="1"/>
      <c r="H57" s="1">
        <f t="shared" ref="H57:H65" si="3">H42+I42*$B$54</f>
        <v>27877.583289725007</v>
      </c>
      <c r="I57" s="1"/>
      <c r="J57" s="1">
        <f t="shared" ref="J57:J65" si="4">J42+K42*$B$54</f>
        <v>77.487455396932091</v>
      </c>
      <c r="K57" s="1"/>
      <c r="L57" s="1">
        <f t="shared" ref="L57:L65" si="5">L42+M42*$B$54</f>
        <v>48.307600614793841</v>
      </c>
      <c r="M57" s="1">
        <f>J57-L57</f>
        <v>29.17985478213825</v>
      </c>
      <c r="N57" s="1">
        <f>MOD(H57-J57,360)</f>
        <v>80.095834328076307</v>
      </c>
      <c r="O57" s="1">
        <v>91.871820081093176</v>
      </c>
      <c r="P57" s="1">
        <f>2*ATAN2(SQRT(1-D57)*COS(RADIANS(O57/2)),SQRT(1+D57)*SIN(RADIANS(O57/2)))*180/PI()</f>
        <v>103.69262454531749</v>
      </c>
      <c r="Q57">
        <f>B57*(COS(RADIANS(O57))-D57)</f>
        <v>-9.2246958825075054E-2</v>
      </c>
      <c r="R57">
        <f>B57*SQRT(1-D57^2)*SIN(RADIANS(O57))</f>
        <v>0.37862404176970849</v>
      </c>
      <c r="S57">
        <v>0</v>
      </c>
      <c r="T57" s="1">
        <f t="shared" ref="T57:T65" si="6">(COS(RADIANS(M57))*COS(RADIANS(L57))-SIN(RADIANS(M57))*SIN(RADIANS(L57))*COS(RADIANS(F57)))*Q57+(-SIN(RADIANS(M57))*COS(RADIANS(L57))-COS(RADIANS(M57))*SIN(RADIANS(L57))*COS(RADIANS(F57)))*R57</f>
        <v>-0.38802540278726205</v>
      </c>
      <c r="U57" s="1">
        <f>(COS(RADIANS(M57))*SIN(RADIANS(L57))+SIN(RADIANS(M57))*COS(RADIANS(L57))*COS(RADIANS(F57)))*Q57+(-SIN(RADIANS(M57))*SIN(RADIANS(L57))+COS(RADIANS(M57))*COS(RADIANS(L57))*COS(RADIANS(F57)))*R57</f>
        <v>-9.4432989420620422E-3</v>
      </c>
      <c r="V57" s="1">
        <f>(SIN(RADIANS(M57))*SIN(RADIANS(F57)))*Q57+(COS(RADIANS(M57))*SIN(RADIANS(F57)))*R57</f>
        <v>3.4824952482077225E-2</v>
      </c>
      <c r="W57" s="1">
        <f>T57</f>
        <v>-0.38802540278726205</v>
      </c>
      <c r="X57" s="1">
        <f t="shared" ref="X57:X65" si="7">COS(RADIANS($Y$55))*U57-SIN(RADIANS($Y$55))*V57</f>
        <v>-2.2516622472165918E-2</v>
      </c>
      <c r="Y57" s="1">
        <f t="shared" ref="Y57:Y65" si="8">SIN(RADIANS($Y$55))*U57+COS(RADIANS($Y$55))*V57</f>
        <v>2.8194944985476374E-2</v>
      </c>
    </row>
    <row r="58" spans="1:25" x14ac:dyDescent="0.3">
      <c r="A58" t="s">
        <v>43</v>
      </c>
      <c r="B58" s="1">
        <f t="shared" si="0"/>
        <v>0.72333638079260787</v>
      </c>
      <c r="C58" s="1"/>
      <c r="D58" s="1">
        <f t="shared" si="1"/>
        <v>6.7691294993839834E-3</v>
      </c>
      <c r="E58" s="1"/>
      <c r="F58" s="1">
        <f t="shared" si="2"/>
        <v>3.3945302465927449</v>
      </c>
      <c r="G58" s="1"/>
      <c r="H58" s="1">
        <f t="shared" si="3"/>
        <v>10997.160831790243</v>
      </c>
      <c r="I58" s="1"/>
      <c r="J58" s="1">
        <f t="shared" si="4"/>
        <v>131.60296310194784</v>
      </c>
      <c r="K58" s="1"/>
      <c r="L58" s="1">
        <f t="shared" si="5"/>
        <v>76.62851949559645</v>
      </c>
      <c r="M58" s="1">
        <f t="shared" ref="M58:M65" si="9">J58-L58</f>
        <v>54.974443606351386</v>
      </c>
      <c r="N58" s="1">
        <f t="shared" ref="N58:N65" si="10">MOD(H58-J58,360)</f>
        <v>65.557868688294548</v>
      </c>
      <c r="O58" s="1">
        <v>65.911937613072354</v>
      </c>
      <c r="P58" s="1">
        <f t="shared" ref="P58:P65" si="11">2*ATAN2(SQRT(1-D58)*COS(RADIANS(O58/2)),SQRT(1+D58)*SIN(RADIANS(O58/2)))*180/PI()</f>
        <v>66.266499252734334</v>
      </c>
      <c r="Q58">
        <f t="shared" ref="Q58:Q65" si="12">B58*(COS(RADIANS(O58))-D58)</f>
        <v>0.290326342281998</v>
      </c>
      <c r="R58">
        <f t="shared" ref="R58:R65" si="13">B58*SQRT(1-D58^2)*SIN(RADIANS(O58))</f>
        <v>0.6603325650913805</v>
      </c>
      <c r="S58">
        <v>0</v>
      </c>
      <c r="T58" s="1">
        <f t="shared" si="6"/>
        <v>-0.68548650935400501</v>
      </c>
      <c r="U58" s="1">
        <f t="shared" ref="U58:U65" si="14">(COS(RADIANS(M58))*SIN(RADIANS(L58))+SIN(RADIANS(M58))*COS(RADIANS(L58))*COS(RADIANS(F58)))*Q58+(-SIN(RADIANS(M58))*SIN(RADIANS(L58))+COS(RADIANS(M58))*COS(RADIANS(L58))*COS(RADIANS(F58)))*R58</f>
        <v>-0.22159236543168234</v>
      </c>
      <c r="V58" s="1">
        <f t="shared" ref="V58:V65" si="15">(SIN(RADIANS(M58))*SIN(RADIANS(F58)))*Q58+(COS(RADIANS(M58))*SIN(RADIANS(F58)))*R58</f>
        <v>3.651781235314451E-2</v>
      </c>
      <c r="W58" s="1">
        <f t="shared" ref="W58:W65" si="16">T58</f>
        <v>-0.68548650935400501</v>
      </c>
      <c r="X58" s="1">
        <f t="shared" si="7"/>
        <v>-0.21783298250980943</v>
      </c>
      <c r="Y58" s="1">
        <f t="shared" si="8"/>
        <v>-5.4639900874258428E-2</v>
      </c>
    </row>
    <row r="59" spans="1:25" x14ac:dyDescent="0.3">
      <c r="A59" t="s">
        <v>44</v>
      </c>
      <c r="B59" s="1">
        <f t="shared" si="0"/>
        <v>1.0000036486806296</v>
      </c>
      <c r="C59" s="1"/>
      <c r="D59" s="1">
        <f t="shared" si="1"/>
        <v>1.6703112766324437E-2</v>
      </c>
      <c r="E59" s="1"/>
      <c r="F59" s="1">
        <f t="shared" si="2"/>
        <v>-2.4080974973305956E-3</v>
      </c>
      <c r="G59" s="1"/>
      <c r="H59" s="1">
        <f t="shared" si="3"/>
        <v>6753.8188145742333</v>
      </c>
      <c r="I59" s="1"/>
      <c r="J59" s="1">
        <f t="shared" si="4"/>
        <v>102.99742891718192</v>
      </c>
      <c r="K59" s="1"/>
      <c r="L59" s="1">
        <f t="shared" si="5"/>
        <v>0</v>
      </c>
      <c r="M59" s="1">
        <f t="shared" si="9"/>
        <v>102.99742891718192</v>
      </c>
      <c r="N59" s="1">
        <f t="shared" si="10"/>
        <v>170.821385657051</v>
      </c>
      <c r="O59" s="1">
        <v>170.97156532019855</v>
      </c>
      <c r="P59" s="1">
        <f t="shared" si="11"/>
        <v>171.12052664021175</v>
      </c>
      <c r="Q59">
        <f t="shared" si="12"/>
        <v>-1.0043173610482716</v>
      </c>
      <c r="R59">
        <f t="shared" si="13"/>
        <v>0.15690329497451119</v>
      </c>
      <c r="S59">
        <v>0</v>
      </c>
      <c r="T59" s="1">
        <f t="shared" si="6"/>
        <v>7.2994879135113128E-2</v>
      </c>
      <c r="U59" s="1">
        <f t="shared" si="14"/>
        <v>-1.0138756094714259</v>
      </c>
      <c r="V59" s="1">
        <f t="shared" si="15"/>
        <v>4.2612411244929689E-5</v>
      </c>
      <c r="W59" s="1">
        <f t="shared" si="16"/>
        <v>7.2994879135113128E-2</v>
      </c>
      <c r="X59" s="1">
        <f t="shared" si="7"/>
        <v>-0.93022971330512072</v>
      </c>
      <c r="Y59" s="1">
        <f t="shared" si="8"/>
        <v>-0.4032572798861116</v>
      </c>
    </row>
    <row r="60" spans="1:25" x14ac:dyDescent="0.3">
      <c r="A60" t="s">
        <v>45</v>
      </c>
      <c r="B60" s="1">
        <f t="shared" si="0"/>
        <v>1.5237137535998631</v>
      </c>
      <c r="C60" s="1"/>
      <c r="D60" s="1">
        <f t="shared" si="1"/>
        <v>9.340866740342231E-2</v>
      </c>
      <c r="E60" s="1"/>
      <c r="F60" s="1">
        <f t="shared" si="2"/>
        <v>1.8481886025282683</v>
      </c>
      <c r="G60" s="1"/>
      <c r="H60" s="1">
        <f t="shared" si="3"/>
        <v>3532.9308465270019</v>
      </c>
      <c r="I60" s="1"/>
      <c r="J60" s="1">
        <f t="shared" si="4"/>
        <v>-23.861494185607391</v>
      </c>
      <c r="K60" s="1"/>
      <c r="L60" s="1">
        <f t="shared" si="5"/>
        <v>49.505465893183711</v>
      </c>
      <c r="M60" s="1">
        <f t="shared" si="9"/>
        <v>-73.366960078791095</v>
      </c>
      <c r="N60" s="1">
        <f t="shared" si="10"/>
        <v>316.79234071260908</v>
      </c>
      <c r="O60" s="1">
        <v>312.8699155408209</v>
      </c>
      <c r="P60" s="1">
        <f t="shared" si="11"/>
        <v>308.81129708368559</v>
      </c>
      <c r="Q60">
        <f t="shared" si="12"/>
        <v>0.8943094573923499</v>
      </c>
      <c r="R60">
        <f t="shared" si="13"/>
        <v>-1.1118476452892878</v>
      </c>
      <c r="S60">
        <v>0</v>
      </c>
      <c r="T60" s="1">
        <f t="shared" si="6"/>
        <v>0.3676319133513824</v>
      </c>
      <c r="U60" s="1">
        <f t="shared" si="14"/>
        <v>-1.3781890118613507</v>
      </c>
      <c r="V60" s="1">
        <f t="shared" si="15"/>
        <v>-3.7900076345158067E-2</v>
      </c>
      <c r="W60" s="1">
        <f t="shared" si="16"/>
        <v>0.3676319133513824</v>
      </c>
      <c r="X60" s="1">
        <f t="shared" si="7"/>
        <v>-1.2493880250010294</v>
      </c>
      <c r="Y60" s="1">
        <f t="shared" si="8"/>
        <v>-0.58298450338440555</v>
      </c>
    </row>
    <row r="61" spans="1:25" x14ac:dyDescent="0.3">
      <c r="A61" t="s">
        <v>46</v>
      </c>
      <c r="B61" s="1">
        <f t="shared" si="0"/>
        <v>5.2028655481030794</v>
      </c>
      <c r="C61" s="1"/>
      <c r="D61" s="1">
        <f t="shared" si="1"/>
        <v>4.8361745988637919E-2</v>
      </c>
      <c r="E61" s="1"/>
      <c r="F61" s="1">
        <f t="shared" si="2"/>
        <v>1.3040574123252568</v>
      </c>
      <c r="G61" s="1"/>
      <c r="H61" s="1">
        <f t="shared" si="3"/>
        <v>595.27402395630736</v>
      </c>
      <c r="I61" s="1"/>
      <c r="J61" s="1">
        <f t="shared" si="4"/>
        <v>14.767758717155099</v>
      </c>
      <c r="K61" s="1"/>
      <c r="L61" s="1">
        <f t="shared" si="5"/>
        <v>100.51173980870036</v>
      </c>
      <c r="M61" s="1">
        <f t="shared" si="9"/>
        <v>-85.743981091545251</v>
      </c>
      <c r="N61" s="1">
        <f t="shared" si="10"/>
        <v>220.5062652391523</v>
      </c>
      <c r="O61" s="1">
        <v>218.77108382383818</v>
      </c>
      <c r="P61" s="1">
        <f t="shared" si="11"/>
        <v>217.06715704307794</v>
      </c>
      <c r="Q61">
        <f t="shared" si="12"/>
        <v>-4.3080551268783474</v>
      </c>
      <c r="R61">
        <f t="shared" si="13"/>
        <v>-3.2542762510719747</v>
      </c>
      <c r="S61">
        <v>0</v>
      </c>
      <c r="T61" s="1">
        <f t="shared" si="6"/>
        <v>-3.3351940675492386</v>
      </c>
      <c r="U61" s="1">
        <f t="shared" si="14"/>
        <v>-4.2447165343704798</v>
      </c>
      <c r="V61" s="1">
        <f t="shared" si="15"/>
        <v>9.2276590423084517E-2</v>
      </c>
      <c r="W61" s="1">
        <f t="shared" si="16"/>
        <v>-3.3351940675492386</v>
      </c>
      <c r="X61" s="1">
        <f t="shared" si="7"/>
        <v>-3.9311571095664632</v>
      </c>
      <c r="Y61" s="1">
        <f t="shared" si="8"/>
        <v>-1.6037883919655043</v>
      </c>
    </row>
    <row r="62" spans="1:25" x14ac:dyDescent="0.3">
      <c r="A62" t="s">
        <v>47</v>
      </c>
      <c r="B62" s="1">
        <f t="shared" si="0"/>
        <v>9.5364448058370979</v>
      </c>
      <c r="C62" s="1"/>
      <c r="D62" s="1">
        <f t="shared" si="1"/>
        <v>5.3767549138809032E-2</v>
      </c>
      <c r="E62" s="1"/>
      <c r="F62" s="1">
        <f t="shared" si="2"/>
        <v>2.4863496954769335</v>
      </c>
      <c r="G62" s="1"/>
      <c r="H62" s="1">
        <f t="shared" si="3"/>
        <v>275.89382521229993</v>
      </c>
      <c r="I62" s="1"/>
      <c r="J62" s="1">
        <f t="shared" si="4"/>
        <v>92.521444454665854</v>
      </c>
      <c r="K62" s="1"/>
      <c r="L62" s="1">
        <f t="shared" si="5"/>
        <v>113.60907142225955</v>
      </c>
      <c r="M62" s="1">
        <f t="shared" si="9"/>
        <v>-21.087626967593692</v>
      </c>
      <c r="N62" s="1">
        <f t="shared" si="10"/>
        <v>183.37238075763406</v>
      </c>
      <c r="O62" s="1">
        <v>183.20039295103817</v>
      </c>
      <c r="P62" s="1">
        <f t="shared" si="11"/>
        <v>183.03278299115181</v>
      </c>
      <c r="Q62">
        <f t="shared" si="12"/>
        <v>-10.034322853069852</v>
      </c>
      <c r="R62">
        <f t="shared" si="13"/>
        <v>-0.53163386954440195</v>
      </c>
      <c r="S62">
        <v>0</v>
      </c>
      <c r="T62" s="1">
        <f t="shared" si="6"/>
        <v>0.9752486010252962</v>
      </c>
      <c r="U62" s="1">
        <f t="shared" si="14"/>
        <v>-10.000045373833629</v>
      </c>
      <c r="V62" s="1">
        <f t="shared" si="15"/>
        <v>0.13510136325552516</v>
      </c>
      <c r="W62" s="1">
        <f t="shared" si="16"/>
        <v>0.9752486010252962</v>
      </c>
      <c r="X62" s="1">
        <f t="shared" si="7"/>
        <v>-9.2286032337654635</v>
      </c>
      <c r="Y62" s="1">
        <f t="shared" si="8"/>
        <v>-3.8538347409844249</v>
      </c>
    </row>
    <row r="63" spans="1:25" x14ac:dyDescent="0.3">
      <c r="A63" t="s">
        <v>48</v>
      </c>
      <c r="B63" s="1">
        <f t="shared" si="0"/>
        <v>19.188802070229158</v>
      </c>
      <c r="C63" s="1"/>
      <c r="D63" s="1">
        <f t="shared" si="1"/>
        <v>4.7249313525393563E-2</v>
      </c>
      <c r="E63" s="1"/>
      <c r="F63" s="1">
        <f t="shared" si="2"/>
        <v>0.77218883349911016</v>
      </c>
      <c r="G63" s="1"/>
      <c r="H63" s="1">
        <f t="shared" si="3"/>
        <v>392.42956047170912</v>
      </c>
      <c r="I63" s="1"/>
      <c r="J63" s="1">
        <f t="shared" si="4"/>
        <v>171.02969205616441</v>
      </c>
      <c r="K63" s="1"/>
      <c r="L63" s="1">
        <f t="shared" si="5"/>
        <v>74.024762427958791</v>
      </c>
      <c r="M63" s="1">
        <f t="shared" si="9"/>
        <v>97.004929628205616</v>
      </c>
      <c r="N63" s="1">
        <f t="shared" si="10"/>
        <v>221.39986841554472</v>
      </c>
      <c r="O63" s="1">
        <v>219.6716363045548</v>
      </c>
      <c r="P63" s="1">
        <f t="shared" si="11"/>
        <v>217.97346243072198</v>
      </c>
      <c r="Q63">
        <f t="shared" si="12"/>
        <v>-15.676579488015284</v>
      </c>
      <c r="R63">
        <f t="shared" si="13"/>
        <v>-12.236197467033758</v>
      </c>
      <c r="S63">
        <v>0</v>
      </c>
      <c r="T63" s="1">
        <f t="shared" si="6"/>
        <v>17.391515090322375</v>
      </c>
      <c r="U63" s="1">
        <f t="shared" si="14"/>
        <v>9.642558487527312</v>
      </c>
      <c r="V63" s="1">
        <f t="shared" si="15"/>
        <v>-0.18958263108432952</v>
      </c>
      <c r="W63" s="1">
        <f t="shared" si="16"/>
        <v>17.391515090322375</v>
      </c>
      <c r="X63" s="1">
        <f t="shared" si="7"/>
        <v>8.9222867946532638</v>
      </c>
      <c r="Y63" s="1">
        <f t="shared" si="8"/>
        <v>3.6616490975173845</v>
      </c>
    </row>
    <row r="64" spans="1:25" x14ac:dyDescent="0.3">
      <c r="A64" t="s">
        <v>49</v>
      </c>
      <c r="B64" s="1">
        <f t="shared" si="0"/>
        <v>30.069971350662698</v>
      </c>
      <c r="C64" s="1"/>
      <c r="D64" s="1">
        <f t="shared" si="1"/>
        <v>8.5999149904175207E-3</v>
      </c>
      <c r="E64" s="1"/>
      <c r="F64" s="1">
        <f t="shared" si="2"/>
        <v>1.7701088440413415</v>
      </c>
      <c r="G64" s="1"/>
      <c r="H64" s="1">
        <f t="shared" si="3"/>
        <v>-14.744655585574954</v>
      </c>
      <c r="I64" s="1"/>
      <c r="J64" s="1">
        <f t="shared" si="4"/>
        <v>44.905174042010408</v>
      </c>
      <c r="K64" s="1"/>
      <c r="L64" s="1">
        <f t="shared" si="5"/>
        <v>131.78328563422806</v>
      </c>
      <c r="M64" s="1">
        <f t="shared" si="9"/>
        <v>-86.878111592217664</v>
      </c>
      <c r="N64" s="1">
        <f t="shared" si="10"/>
        <v>300.35017037241465</v>
      </c>
      <c r="O64" s="1">
        <v>299.92311580907784</v>
      </c>
      <c r="P64" s="1">
        <f t="shared" si="11"/>
        <v>299.4951373147984</v>
      </c>
      <c r="Q64">
        <f t="shared" si="12"/>
        <v>14.741428513932016</v>
      </c>
      <c r="R64">
        <f t="shared" si="13"/>
        <v>-26.06054705636781</v>
      </c>
      <c r="S64">
        <v>0</v>
      </c>
      <c r="T64" s="1">
        <f t="shared" si="6"/>
        <v>28.832324969422402</v>
      </c>
      <c r="U64" s="1">
        <f t="shared" si="14"/>
        <v>-8.0566956768282463</v>
      </c>
      <c r="V64" s="1">
        <f t="shared" si="15"/>
        <v>-0.49851693765338834</v>
      </c>
      <c r="W64" s="1">
        <f t="shared" si="16"/>
        <v>28.832324969422402</v>
      </c>
      <c r="X64" s="1">
        <f t="shared" si="7"/>
        <v>-7.1935758235805931</v>
      </c>
      <c r="Y64" s="1">
        <f t="shared" si="8"/>
        <v>-3.6621484454548079</v>
      </c>
    </row>
    <row r="65" spans="1:25" x14ac:dyDescent="0.3">
      <c r="A65" t="s">
        <v>50</v>
      </c>
      <c r="B65" s="1">
        <f t="shared" si="0"/>
        <v>39.48205835470965</v>
      </c>
      <c r="C65" s="1"/>
      <c r="D65" s="1">
        <f t="shared" si="1"/>
        <v>0.24883685512251882</v>
      </c>
      <c r="E65" s="1"/>
      <c r="F65" s="1">
        <f t="shared" si="2"/>
        <v>17.140020964560986</v>
      </c>
      <c r="G65" s="1"/>
      <c r="H65" s="1">
        <f t="shared" si="3"/>
        <v>265.76614411138468</v>
      </c>
      <c r="I65" s="1"/>
      <c r="J65" s="1">
        <f t="shared" si="4"/>
        <v>224.06140721677045</v>
      </c>
      <c r="K65" s="1"/>
      <c r="L65" s="1">
        <f t="shared" si="5"/>
        <v>110.3017495449306</v>
      </c>
      <c r="M65" s="1">
        <f t="shared" si="9"/>
        <v>113.75965767183985</v>
      </c>
      <c r="N65" s="1">
        <f t="shared" si="10"/>
        <v>41.704736894614229</v>
      </c>
      <c r="O65" s="1">
        <v>53.107150490440254</v>
      </c>
      <c r="P65" s="1">
        <f t="shared" si="11"/>
        <v>65.593384672851712</v>
      </c>
      <c r="Q65">
        <f t="shared" si="12"/>
        <v>13.877294631999629</v>
      </c>
      <c r="R65">
        <f t="shared" si="13"/>
        <v>30.582939722656032</v>
      </c>
      <c r="S65">
        <v>0</v>
      </c>
      <c r="T65" s="1">
        <f t="shared" si="6"/>
        <v>11.311903562999902</v>
      </c>
      <c r="U65" s="1">
        <f t="shared" si="14"/>
        <v>-31.621572649064696</v>
      </c>
      <c r="V65" s="1">
        <f t="shared" si="15"/>
        <v>0.11175582423949715</v>
      </c>
      <c r="W65" s="1">
        <f t="shared" si="16"/>
        <v>11.311903562999902</v>
      </c>
      <c r="X65" s="1">
        <f t="shared" si="7"/>
        <v>-29.056682013235019</v>
      </c>
      <c r="Y65" s="1">
        <f t="shared" si="8"/>
        <v>-12.475799635537298</v>
      </c>
    </row>
    <row r="67" spans="1:25" x14ac:dyDescent="0.3">
      <c r="N67" s="1"/>
      <c r="P67" s="1"/>
      <c r="Q67" s="1"/>
      <c r="R67" s="1"/>
      <c r="S67" s="1"/>
      <c r="T67" s="1"/>
    </row>
    <row r="68" spans="1:25" x14ac:dyDescent="0.3">
      <c r="N68" s="1"/>
      <c r="P68" s="1"/>
      <c r="Q68" s="1"/>
      <c r="T68" s="1"/>
    </row>
    <row r="69" spans="1:25" x14ac:dyDescent="0.3">
      <c r="P69" s="1"/>
      <c r="Q69" s="1"/>
      <c r="T69" s="1"/>
    </row>
    <row r="70" spans="1:25" x14ac:dyDescent="0.3">
      <c r="P70" s="1"/>
      <c r="Q70" s="1"/>
      <c r="T70" s="1"/>
    </row>
    <row r="71" spans="1:25" x14ac:dyDescent="0.3">
      <c r="A71" t="s">
        <v>90</v>
      </c>
      <c r="P71" s="1"/>
      <c r="Q71" s="1"/>
      <c r="T71" s="1"/>
    </row>
    <row r="72" spans="1:25" ht="73.8" customHeight="1" x14ac:dyDescent="0.3">
      <c r="A72" s="9" t="s">
        <v>91</v>
      </c>
      <c r="B72" s="9"/>
      <c r="C72" s="9"/>
      <c r="D72" s="9"/>
      <c r="E72" s="9"/>
      <c r="F72" s="9"/>
      <c r="G72" s="9"/>
      <c r="H72" s="9"/>
      <c r="I72" s="9"/>
      <c r="J72" s="9"/>
      <c r="K72" s="9"/>
      <c r="P72" s="1"/>
      <c r="Q72" s="1"/>
      <c r="T72" s="1"/>
    </row>
    <row r="73" spans="1:25" x14ac:dyDescent="0.3">
      <c r="P73" s="1"/>
      <c r="Q73" s="1"/>
      <c r="T73" s="1"/>
    </row>
    <row r="74" spans="1:25" x14ac:dyDescent="0.3">
      <c r="A74" t="s">
        <v>92</v>
      </c>
      <c r="P74" s="1"/>
      <c r="Q74" s="1"/>
      <c r="T74" s="1"/>
    </row>
    <row r="75" spans="1:25" x14ac:dyDescent="0.3">
      <c r="A75" t="s">
        <v>93</v>
      </c>
    </row>
  </sheetData>
  <mergeCells count="1">
    <mergeCell ref="A72:K7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alSeekMacro">
                <anchor moveWithCells="1" sizeWithCells="1">
                  <from>
                    <xdr:col>13</xdr:col>
                    <xdr:colOff>1409700</xdr:colOff>
                    <xdr:row>51</xdr:row>
                    <xdr:rowOff>175260</xdr:rowOff>
                  </from>
                  <to>
                    <xdr:col>14</xdr:col>
                    <xdr:colOff>845820</xdr:colOff>
                    <xdr:row>53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Sierra Nevada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Beck Waldbauer</dc:creator>
  <cp:lastModifiedBy>Beck Waldbauer</cp:lastModifiedBy>
  <dcterms:created xsi:type="dcterms:W3CDTF">2018-06-26T12:15:22Z</dcterms:created>
  <dcterms:modified xsi:type="dcterms:W3CDTF">2018-06-26T20:30:03Z</dcterms:modified>
</cp:coreProperties>
</file>